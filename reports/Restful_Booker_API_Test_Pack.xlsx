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_Cases" sheetId="2" state="visible" r:id="rId4"/>
    <sheet name="Defect_Log" sheetId="3" state="visible" r:id="rId5"/>
    <sheet name="Traceability" sheetId="4" state="visible" r:id="rId6"/>
  </sheets>
  <definedNames>
    <definedName function="false" hidden="true" localSheetId="2" name="_xlnm._FilterDatabase" vbProcedure="false">Defect_Log!$A$3:$L$10</definedName>
    <definedName function="false" hidden="true" localSheetId="1" name="_xlnm._FilterDatabase" vbProcedure="false">Test_Cases!$A$3:$N$23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<sst xmlns="http://schemas.openxmlformats.org/spreadsheetml/2006/main" count="416" uniqueCount="262">
  <si>
    <t xml:space="preserve">Restful-Booker API Testing: Summary</t>
  </si>
  <si>
    <t xml:space="preserve">All figures below are formulas that read the Test_Cases and Defect_Log sheets.</t>
  </si>
  <si>
    <t xml:space="preserve">Metric</t>
  </si>
  <si>
    <t xml:space="preserve">Value</t>
  </si>
  <si>
    <t xml:space="preserve">Total test cases</t>
  </si>
  <si>
    <t xml:space="preserve">Functional test cases</t>
  </si>
  <si>
    <t xml:space="preserve">Negative and boundary test cases</t>
  </si>
  <si>
    <t xml:space="preserve">Passed</t>
  </si>
  <si>
    <t xml:space="preserve">Failed</t>
  </si>
  <si>
    <t xml:space="preserve">Pass rate</t>
  </si>
  <si>
    <t xml:space="preserve">Negative tests that exposed a defect</t>
  </si>
  <si>
    <t xml:space="preserve">Total Postman assertions</t>
  </si>
  <si>
    <t xml:space="preserve">Distinct defects logged</t>
  </si>
  <si>
    <t xml:space="preserve">Defects: Medium severity</t>
  </si>
  <si>
    <t xml:space="preserve">Defects: Low severity</t>
  </si>
  <si>
    <t xml:space="preserve">Notes</t>
  </si>
  <si>
    <t xml:space="preserve">Scope: 8 functional requests (Ping, Auth, Get all ids, Create, Get by id, Update, Partial update, Delete) and 12 negative tests, run in Postman against a public practice API.</t>
  </si>
  <si>
    <t xml:space="preserve">Assertions are the pm.test checks inside the Postman scripts. They are counted separately from test cases; a test case can contain several assertions.</t>
  </si>
  <si>
    <t xml:space="preserve">The functional run passed all 27 assertions (see functional_run_27_passed.png). The negative tests are written to the correct behaviour, so a failed test means the API behaves differently from that expectation.</t>
  </si>
  <si>
    <t xml:space="preserve">Restful-Booker is a practice API and some defects may be deliberate. Defect status is Open because I do not control the API.</t>
  </si>
  <si>
    <t xml:space="preserve">The public API resets its data about every 10 minutes, so booking ids in the evidence will not exist when the tests are re-run.</t>
  </si>
  <si>
    <t xml:space="preserve">Restful-Booker API: Test Cases</t>
  </si>
  <si>
    <t xml:space="preserve">API under test: https://restful-booker.herokuapp.com (public practice API). Tool: Postman. Test IDs TC01-TC08 are functional; TC09-TC20 are negative and boundary tests.</t>
  </si>
  <si>
    <t xml:space="preserve">TC ID</t>
  </si>
  <si>
    <t xml:space="preserve">Req ID</t>
  </si>
  <si>
    <t xml:space="preserve">Test Case</t>
  </si>
  <si>
    <t xml:space="preserve">Postman Request</t>
  </si>
  <si>
    <t xml:space="preserve">Type</t>
  </si>
  <si>
    <t xml:space="preserve">Method</t>
  </si>
  <si>
    <t xml:space="preserve">Endpoint</t>
  </si>
  <si>
    <t xml:space="preserve">Steps</t>
  </si>
  <si>
    <t xml:space="preserve">Expected Result</t>
  </si>
  <si>
    <t xml:space="preserve">Actual Result</t>
  </si>
  <si>
    <t xml:space="preserve">Assertions</t>
  </si>
  <si>
    <t xml:space="preserve">Status</t>
  </si>
  <si>
    <t xml:space="preserve">Defect ID</t>
  </si>
  <si>
    <t xml:space="preserve">Evidence</t>
  </si>
  <si>
    <t xml:space="preserve">TC01</t>
  </si>
  <si>
    <t xml:space="preserve">R01</t>
  </si>
  <si>
    <t xml:space="preserve">API health check responds</t>
  </si>
  <si>
    <t xml:space="preserve">Ping</t>
  </si>
  <si>
    <t xml:space="preserve">Functional</t>
  </si>
  <si>
    <t xml:space="preserve">GET</t>
  </si>
  <si>
    <t xml:space="preserve">/ping</t>
  </si>
  <si>
    <t xml:space="preserve">Send GET /ping</t>
  </si>
  <si>
    <t xml:space="preserve">201 Created, response time under 5 s</t>
  </si>
  <si>
    <t xml:space="preserve">201 Created</t>
  </si>
  <si>
    <t xml:space="preserve">Pass</t>
  </si>
  <si>
    <t xml:space="preserve">functional_run_27_passed.png</t>
  </si>
  <si>
    <t xml:space="preserve">TC02</t>
  </si>
  <si>
    <t xml:space="preserve">R02</t>
  </si>
  <si>
    <t xml:space="preserve">Valid credentials return a token</t>
  </si>
  <si>
    <t xml:space="preserve">Auth</t>
  </si>
  <si>
    <t xml:space="preserve">POST</t>
  </si>
  <si>
    <t xml:space="preserve">/auth</t>
  </si>
  <si>
    <t xml:space="preserve">Send POST /auth with valid username and password</t>
  </si>
  <si>
    <t xml:space="preserve">200 OK, token returned as a non-empty string</t>
  </si>
  <si>
    <t xml:space="preserve">200 OK, token returned and saved to environment</t>
  </si>
  <si>
    <t xml:space="preserve">TC03</t>
  </si>
  <si>
    <t xml:space="preserve">R04</t>
  </si>
  <si>
    <t xml:space="preserve">List all booking ids</t>
  </si>
  <si>
    <t xml:space="preserve">Get all booking ids</t>
  </si>
  <si>
    <t xml:space="preserve">/booking</t>
  </si>
  <si>
    <t xml:space="preserve">Send GET /booking</t>
  </si>
  <si>
    <t xml:space="preserve">200 OK, non-empty list where every item has a numeric bookingid</t>
  </si>
  <si>
    <t xml:space="preserve">200 OK, list of booking ids returned</t>
  </si>
  <si>
    <t xml:space="preserve">TC04</t>
  </si>
  <si>
    <t xml:space="preserve">R03</t>
  </si>
  <si>
    <t xml:space="preserve">Create a booking with valid data</t>
  </si>
  <si>
    <t xml:space="preserve">Create booking</t>
  </si>
  <si>
    <t xml:space="preserve">Send POST /booking with a valid body</t>
  </si>
  <si>
    <t xml:space="preserve">200 OK, numeric bookingid, returned booking matches the request</t>
  </si>
  <si>
    <t xml:space="preserve">200 OK, bookingid returned and saved, all fields match</t>
  </si>
  <si>
    <t xml:space="preserve">TC05</t>
  </si>
  <si>
    <t xml:space="preserve">Get a booking by id</t>
  </si>
  <si>
    <t xml:space="preserve">Get booking by id</t>
  </si>
  <si>
    <t xml:space="preserve">/booking/{id}</t>
  </si>
  <si>
    <t xml:space="preserve">Send GET /booking/{booking_id}</t>
  </si>
  <si>
    <t xml:space="preserve">200 OK, all 6 fields present with correct data types and values</t>
  </si>
  <si>
    <t xml:space="preserve">200 OK, fields, types and values correct</t>
  </si>
  <si>
    <t xml:space="preserve">TC06</t>
  </si>
  <si>
    <t xml:space="preserve">R05</t>
  </si>
  <si>
    <t xml:space="preserve">Update a booking (full update)</t>
  </si>
  <si>
    <t xml:space="preserve">Update booking</t>
  </si>
  <si>
    <t xml:space="preserve">PUT</t>
  </si>
  <si>
    <t xml:space="preserve">Send PUT /booking/{booking_id} with Basic Auth and a full body</t>
  </si>
  <si>
    <t xml:space="preserve">200 OK, all updated values returned</t>
  </si>
  <si>
    <t xml:space="preserve">200 OK, updated values returned</t>
  </si>
  <si>
    <t xml:space="preserve">TC07</t>
  </si>
  <si>
    <t xml:space="preserve">Partially update a booking</t>
  </si>
  <si>
    <t xml:space="preserve">Partial update</t>
  </si>
  <si>
    <t xml:space="preserve">PATCH</t>
  </si>
  <si>
    <t xml:space="preserve">Send PATCH /booking/{booking_id} with Basic Auth and two fields</t>
  </si>
  <si>
    <t xml:space="preserve">200 OK, sent fields changed, other fields unchanged</t>
  </si>
  <si>
    <t xml:space="preserve">200 OK, patched fields changed, others unchanged</t>
  </si>
  <si>
    <t xml:space="preserve">TC08</t>
  </si>
  <si>
    <t xml:space="preserve">R06</t>
  </si>
  <si>
    <t xml:space="preserve">Delete a booking</t>
  </si>
  <si>
    <t xml:space="preserve">Delete booking</t>
  </si>
  <si>
    <t xml:space="preserve">DELETE</t>
  </si>
  <si>
    <t xml:space="preserve">Send DELETE /booking/{booking_id} with Basic Auth</t>
  </si>
  <si>
    <t xml:space="preserve">201 Created with body 'Created' (documented behaviour of this API)</t>
  </si>
  <si>
    <t xml:space="preserve">201 Created, body 'Created'</t>
  </si>
  <si>
    <t xml:space="preserve">TC09</t>
  </si>
  <si>
    <t xml:space="preserve">Auth with a wrong password is rejected</t>
  </si>
  <si>
    <t xml:space="preserve">NEG-01 Auth wrong password</t>
  </si>
  <si>
    <t xml:space="preserve">Negative</t>
  </si>
  <si>
    <t xml:space="preserve">Send POST /auth with username admin and password wrongpassword</t>
  </si>
  <si>
    <t xml:space="preserve">401 or 403, no token</t>
  </si>
  <si>
    <t xml:space="preserve">200 OK with body {"reason":"Bad credentials"}; no token returned</t>
  </si>
  <si>
    <t xml:space="preserve">Fail</t>
  </si>
  <si>
    <t xml:space="preserve">API-DEF-01</t>
  </si>
  <si>
    <t xml:space="preserve">NEG-01_API-DEF-01_test_failed.png; NEG-01_API-DEF-01_response_body.png</t>
  </si>
  <si>
    <t xml:space="preserve">TC10</t>
  </si>
  <si>
    <t xml:space="preserve">Update without logging in is rejected</t>
  </si>
  <si>
    <t xml:space="preserve">NEG-02 Update without auth</t>
  </si>
  <si>
    <t xml:space="preserve">Send PUT /booking/{booking_id} with No Auth</t>
  </si>
  <si>
    <t xml:space="preserve">401 or 403</t>
  </si>
  <si>
    <t xml:space="preserve">403 Forbidden</t>
  </si>
  <si>
    <t xml:space="preserve">NEG-02_pass_403.png</t>
  </si>
  <si>
    <t xml:space="preserve">TC11</t>
  </si>
  <si>
    <t xml:space="preserve">Delete with an invalid token is rejected</t>
  </si>
  <si>
    <t xml:space="preserve">NEG-03 Delete invalid token</t>
  </si>
  <si>
    <t xml:space="preserve">Send DELETE /booking/{booking_id} with Cookie token=invalidtoken123</t>
  </si>
  <si>
    <t xml:space="preserve">NEG-03_pass_403.png</t>
  </si>
  <si>
    <t xml:space="preserve">TC12</t>
  </si>
  <si>
    <t xml:space="preserve">Create booking with firstname missing</t>
  </si>
  <si>
    <t xml:space="preserve">NEG-04 Create missing firstname</t>
  </si>
  <si>
    <t xml:space="preserve">Send POST /booking with a valid body but no firstname</t>
  </si>
  <si>
    <t xml:space="preserve">400 Bad Request</t>
  </si>
  <si>
    <t xml:space="preserve">500 Internal Server Error</t>
  </si>
  <si>
    <t xml:space="preserve">API-DEF-02</t>
  </si>
  <si>
    <t xml:space="preserve">NEG-04_API-DEF-02_response_500.png; NEG-04_API-DEF-02_test_failed.png</t>
  </si>
  <si>
    <t xml:space="preserve">TC13</t>
  </si>
  <si>
    <t xml:space="preserve">Create booking with a text totalprice</t>
  </si>
  <si>
    <t xml:space="preserve">NEG-05 Create text price</t>
  </si>
  <si>
    <t xml:space="preserve">Send POST /booking with totalprice "abc"</t>
  </si>
  <si>
    <t xml:space="preserve">200 OK, booking 4332 created with totalprice null</t>
  </si>
  <si>
    <t xml:space="preserve">API-DEF-03</t>
  </si>
  <si>
    <t xml:space="preserve">NEG-05_API-DEF-03_test_failed.png; NEG-05_API-DEF-03_response_body.png</t>
  </si>
  <si>
    <t xml:space="preserve">TC14</t>
  </si>
  <si>
    <t xml:space="preserve">Update a nonexistent booking</t>
  </si>
  <si>
    <t xml:space="preserve">NEG-06 Update nonexistent booking</t>
  </si>
  <si>
    <t xml:space="preserve">/booking/99999999</t>
  </si>
  <si>
    <t xml:space="preserve">Send PUT /booking/99999999 with valid Basic Auth and a valid body</t>
  </si>
  <si>
    <t xml:space="preserve">404 Not Found</t>
  </si>
  <si>
    <t xml:space="preserve">405 Method Not Allowed</t>
  </si>
  <si>
    <t xml:space="preserve">API-DEF-04</t>
  </si>
  <si>
    <t xml:space="preserve">NEG-06_API-DEF-04_response_405.png</t>
  </si>
  <si>
    <t xml:space="preserve">TC15</t>
  </si>
  <si>
    <t xml:space="preserve">Get a nonexistent booking</t>
  </si>
  <si>
    <t xml:space="preserve">NEG-07 Get nonexistent booking</t>
  </si>
  <si>
    <t xml:space="preserve">Send GET /booking/99999999</t>
  </si>
  <si>
    <t xml:space="preserve">NEG-07_pass_404.png</t>
  </si>
  <si>
    <t xml:space="preserve">TC16</t>
  </si>
  <si>
    <t xml:space="preserve">Delete a nonexistent booking</t>
  </si>
  <si>
    <t xml:space="preserve">NEG-08 Delete nonexistent booking</t>
  </si>
  <si>
    <t xml:space="preserve">Send DELETE /booking/99999999 with valid Basic Auth</t>
  </si>
  <si>
    <t xml:space="preserve">NEG-08_API-DEF-04_response_405.png</t>
  </si>
  <si>
    <t xml:space="preserve">TC17</t>
  </si>
  <si>
    <t xml:space="preserve">Create booking with checkout before checkin</t>
  </si>
  <si>
    <t xml:space="preserve">NEG-09 Create checkout before checkin</t>
  </si>
  <si>
    <t xml:space="preserve">Send POST /booking with checkin 2026-11-10 and checkout 2026-11-05</t>
  </si>
  <si>
    <t xml:space="preserve">200 OK, booking 5202 stored with checkin 2026-11-10 and checkout 2026-11-05</t>
  </si>
  <si>
    <t xml:space="preserve">API-DEF-05</t>
  </si>
  <si>
    <t xml:space="preserve">NEG-09_API-DEF-05_test_failed.png; NEG-09_API-DEF-05_response_body.png</t>
  </si>
  <si>
    <t xml:space="preserve">TC18</t>
  </si>
  <si>
    <t xml:space="preserve">Create booking with a negative totalprice</t>
  </si>
  <si>
    <t xml:space="preserve">NEG-10 Create negative price</t>
  </si>
  <si>
    <t xml:space="preserve">Send POST /booking with totalprice -50</t>
  </si>
  <si>
    <t xml:space="preserve">200 OK, booking 2803 stored with totalprice -50</t>
  </si>
  <si>
    <t xml:space="preserve">API-DEF-06</t>
  </si>
  <si>
    <t xml:space="preserve">NEG-10_API-DEF-06_test_failed.png; NEG-10_API-DEF-06_response_body.png</t>
  </si>
  <si>
    <t xml:space="preserve">TC19</t>
  </si>
  <si>
    <t xml:space="preserve">Create booking with an empty body</t>
  </si>
  <si>
    <t xml:space="preserve">NEG-11 Create empty body</t>
  </si>
  <si>
    <t xml:space="preserve">Send POST /booking with the body {}</t>
  </si>
  <si>
    <t xml:space="preserve">NEG-11_API-DEF-02_response_500.png</t>
  </si>
  <si>
    <t xml:space="preserve">TC20</t>
  </si>
  <si>
    <t xml:space="preserve">Create booking with a 5,000-character firstname</t>
  </si>
  <si>
    <t xml:space="preserve">NEG-12 Create very long firstname</t>
  </si>
  <si>
    <t xml:space="preserve">Send POST /booking with a firstname of 5,000 characters</t>
  </si>
  <si>
    <t xml:space="preserve">400 or 413</t>
  </si>
  <si>
    <t xml:space="preserve">200 OK, booking created, 5.8 KB response</t>
  </si>
  <si>
    <t xml:space="preserve">API-DEF-07</t>
  </si>
  <si>
    <t xml:space="preserve">NEG-12_API-DEF-07_test_failed.png</t>
  </si>
  <si>
    <t xml:space="preserve">Restful-Booker API: Defect Log</t>
  </si>
  <si>
    <t xml:space="preserve">Severity and priority are the tester's assessment. Status Open means the defect is unresolved: this is a public practice API and I do not control its code.</t>
  </si>
  <si>
    <t xml:space="preserve">Title</t>
  </si>
  <si>
    <t xml:space="preserve">Steps to Reproduce</t>
  </si>
  <si>
    <t xml:space="preserve">Severity</t>
  </si>
  <si>
    <t xml:space="preserve">Priority</t>
  </si>
  <si>
    <t xml:space="preserve">Business Impact</t>
  </si>
  <si>
    <t xml:space="preserve">Found by Test</t>
  </si>
  <si>
    <t xml:space="preserve">POST /auth returns 200 OK for invalid credentials</t>
  </si>
  <si>
    <t xml:space="preserve">POST /auth</t>
  </si>
  <si>
    <t xml:space="preserve">Send POST /auth with username "admin" and password "wrongpassword"</t>
  </si>
  <si>
    <t xml:space="preserve">401 Unauthorized (or 403), no token</t>
  </si>
  <si>
    <t xml:space="preserve">Medium</t>
  </si>
  <si>
    <t xml:space="preserve">P2</t>
  </si>
  <si>
    <t xml:space="preserve">Clients that rely on the status code may treat a failed login as a success</t>
  </si>
  <si>
    <t xml:space="preserve">TC09 (NEG-01)</t>
  </si>
  <si>
    <t xml:space="preserve">Open</t>
  </si>
  <si>
    <t xml:space="preserve">POST /booking returns 500 Internal Server Error for incomplete or empty request bodies</t>
  </si>
  <si>
    <t xml:space="preserve">POST /booking</t>
  </si>
  <si>
    <t xml:space="preserve">1. Send POST /booking with a valid body that has no "firstname". 2. Send POST /booking with the body {}</t>
  </si>
  <si>
    <t xml:space="preserve">400 Bad Request with a validation message</t>
  </si>
  <si>
    <t xml:space="preserve">500 Internal Server Error in both cases</t>
  </si>
  <si>
    <t xml:space="preserve">Invalid input crashes the request instead of being rejected, and clients get no useful error message</t>
  </si>
  <si>
    <t xml:space="preserve">TC12 (NEG-04), TC19 (NEG-11)</t>
  </si>
  <si>
    <t xml:space="preserve">NEG-04_API-DEF-02_response_500.png; NEG-04_API-DEF-02_test_failed.png; NEG-11_API-DEF-02_response_500.png</t>
  </si>
  <si>
    <t xml:space="preserve">POST /booking accepts a non-numeric totalprice and stores it as null</t>
  </si>
  <si>
    <t xml:space="preserve">Send POST /booking with a valid body but "totalprice": "abc"</t>
  </si>
  <si>
    <t xml:space="preserve">400 Bad Request, no booking created</t>
  </si>
  <si>
    <t xml:space="preserve">200 OK, booking 4332 created with "totalprice": null</t>
  </si>
  <si>
    <t xml:space="preserve">Invalid input is silently accepted and corrupts stored data, so bookings can exist with no price</t>
  </si>
  <si>
    <t xml:space="preserve">TC13 (NEG-05)</t>
  </si>
  <si>
    <t xml:space="preserve">PUT and DELETE /booking/{id} return 405 Method Not Allowed for a nonexistent booking id</t>
  </si>
  <si>
    <t xml:space="preserve">PUT and DELETE /booking/{id}</t>
  </si>
  <si>
    <t xml:space="preserve">With valid Basic Auth, send PUT or DELETE to /booking/99999999</t>
  </si>
  <si>
    <t xml:space="preserve">404 Not Found (GET on the same id correctly returns 404, see TC15)</t>
  </si>
  <si>
    <t xml:space="preserve">405 Method Not Allowed on both methods</t>
  </si>
  <si>
    <t xml:space="preserve">Low</t>
  </si>
  <si>
    <t xml:space="preserve">P3</t>
  </si>
  <si>
    <t xml:space="preserve">Misleading status code: clients are told the method is unsupported when the booking is missing. The API is inconsistent with GET</t>
  </si>
  <si>
    <t xml:space="preserve">TC14 (NEG-06), TC16 (NEG-08)</t>
  </si>
  <si>
    <t xml:space="preserve">NEG-06_API-DEF-04_response_405.png; NEG-08_API-DEF-04_response_405.png; NEG-07_pass_404.png</t>
  </si>
  <si>
    <t xml:space="preserve">POST /booking accepts a checkout date earlier than the checkin date</t>
  </si>
  <si>
    <t xml:space="preserve">200 OK, booking 5202 created with checkin 2026-11-10 and checkout 2026-11-05</t>
  </si>
  <si>
    <t xml:space="preserve">Logically invalid bookings are stored, which can break availability, pricing and reporting</t>
  </si>
  <si>
    <t xml:space="preserve">TC17 (NEG-09)</t>
  </si>
  <si>
    <t xml:space="preserve">POST /booking accepts a negative totalprice</t>
  </si>
  <si>
    <t xml:space="preserve">Send POST /booking with a valid body but "totalprice": -50</t>
  </si>
  <si>
    <t xml:space="preserve">200 OK, booking 2803 created with "totalprice": -50</t>
  </si>
  <si>
    <t xml:space="preserve">Bookings with impossible prices can be stored, which corrupts revenue totals and reports</t>
  </si>
  <si>
    <t xml:space="preserve">TC18 (NEG-10)</t>
  </si>
  <si>
    <t xml:space="preserve">POST /booking accepts a 5,000-character firstname with no length validation</t>
  </si>
  <si>
    <t xml:space="preserve">Send POST /booking with a valid body but a firstname of 5,000 characters</t>
  </si>
  <si>
    <t xml:space="preserve">400 Bad Request (or 413 Payload Too Large)</t>
  </si>
  <si>
    <t xml:space="preserve">200 OK, booking created, 5.8 KB response echoing the full name</t>
  </si>
  <si>
    <t xml:space="preserve">No input size limits can lead to bloated data, display problems and abuse of storage</t>
  </si>
  <si>
    <t xml:space="preserve">TC20 (NEG-12)</t>
  </si>
  <si>
    <t xml:space="preserve">Requirement Traceability Matrix</t>
  </si>
  <si>
    <t xml:space="preserve">Requirements are derived by the tester from the public Restful-Booker API documentation and standard REST conventions. They are not an official specification.</t>
  </si>
  <si>
    <t xml:space="preserve">Requirement</t>
  </si>
  <si>
    <t xml:space="preserve">Test Cases</t>
  </si>
  <si>
    <t xml:space="preserve">Tests Run</t>
  </si>
  <si>
    <t xml:space="preserve">Tests Failed</t>
  </si>
  <si>
    <t xml:space="preserve">Defects</t>
  </si>
  <si>
    <t xml:space="preserve">The API reports that it is healthy</t>
  </si>
  <si>
    <t xml:space="preserve">-</t>
  </si>
  <si>
    <t xml:space="preserve">Valid credentials return a token; invalid credentials are rejected</t>
  </si>
  <si>
    <t xml:space="preserve">TC02, TC09</t>
  </si>
  <si>
    <t xml:space="preserve">Valid bookings are created; invalid input is rejected with a client error</t>
  </si>
  <si>
    <t xml:space="preserve">TC04, TC12, TC13, TC17, TC18, TC19, TC20</t>
  </si>
  <si>
    <t xml:space="preserve">API-DEF-02, API-DEF-03, API-DEF-05, API-DEF-06, API-DEF-07</t>
  </si>
  <si>
    <t xml:space="preserve">Bookings can be listed and read; a nonexistent booking returns 404</t>
  </si>
  <si>
    <t xml:space="preserve">TC03, TC05, TC15</t>
  </si>
  <si>
    <t xml:space="preserve">Only authorized users can update a booking; updates change the intended fields; nonexistent ids are handled</t>
  </si>
  <si>
    <t xml:space="preserve">TC06, TC07, TC10, TC14</t>
  </si>
  <si>
    <t xml:space="preserve">Only authorized users can delete a booking; nonexistent ids are handled</t>
  </si>
  <si>
    <t xml:space="preserve">TC08, TC11, TC16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</si>
</sst>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COUNTA(Test_Cases!$A$4:$A$23)</f>
        <v>20</v>
      </c>
    </row>
    <row r="6" customFormat="false" ht="15" hidden="false" customHeight="false" outlineLevel="0" collapsed="false">
      <c r="A6" s="4" t="s">
        <v>5</v>
      </c>
      <c r="B6" s="5" t="n">
        <f aca="false">COUNTIF(Test_Cases!$E$4:$E$23,"Functional")</f>
        <v>8</v>
      </c>
    </row>
    <row r="7" customFormat="false" ht="15" hidden="false" customHeight="false" outlineLevel="0" collapsed="false">
      <c r="A7" s="4" t="s">
        <v>6</v>
      </c>
      <c r="B7" s="5" t="n">
        <f aca="false">COUNTIF(Test_Cases!$E$4:$E$23,"Negative")</f>
        <v>12</v>
      </c>
    </row>
    <row r="8" customFormat="false" ht="15" hidden="false" customHeight="false" outlineLevel="0" collapsed="false">
      <c r="A8" s="4" t="s">
        <v>7</v>
      </c>
      <c r="B8" s="5" t="n">
        <f aca="false">COUNTIF(Test_Cases!$L$4:$L$23,"Pass")</f>
        <v>11</v>
      </c>
    </row>
    <row r="9" customFormat="false" ht="15" hidden="false" customHeight="false" outlineLevel="0" collapsed="false">
      <c r="A9" s="4" t="s">
        <v>8</v>
      </c>
      <c r="B9" s="5" t="n">
        <f aca="false">COUNTIF(Test_Cases!$L$4:$L$23,"Fail")</f>
        <v>9</v>
      </c>
    </row>
    <row r="10" customFormat="false" ht="15" hidden="false" customHeight="false" outlineLevel="0" collapsed="false">
      <c r="A10" s="4" t="s">
        <v>9</v>
      </c>
      <c r="B10" s="6" t="n">
        <f aca="false">B9/B5</f>
        <v>0.45</v>
      </c>
    </row>
    <row r="11" customFormat="false" ht="15" hidden="false" customHeight="false" outlineLevel="0" collapsed="false">
      <c r="A11" s="4" t="s">
        <v>10</v>
      </c>
      <c r="B11" s="5" t="n">
        <f aca="false">COUNTIFS(Test_Cases!$E$4:$E$23,"Negative",Test_Cases!$L$4:$L$23,"Fail")</f>
        <v>9</v>
      </c>
    </row>
    <row r="12" customFormat="false" ht="15" hidden="false" customHeight="false" outlineLevel="0" collapsed="false">
      <c r="A12" s="4" t="s">
        <v>11</v>
      </c>
      <c r="B12" s="5" t="n">
        <f aca="false">SUM(Test_Cases!$K$4:$K$23)</f>
        <v>40</v>
      </c>
    </row>
    <row r="13" customFormat="false" ht="15" hidden="false" customHeight="false" outlineLevel="0" collapsed="false">
      <c r="A13" s="4" t="s">
        <v>12</v>
      </c>
      <c r="B13" s="5" t="n">
        <f aca="false">COUNTA(Defect_Log!$A$4:$A$10)</f>
        <v>7</v>
      </c>
    </row>
    <row r="14" customFormat="false" ht="15" hidden="false" customHeight="false" outlineLevel="0" collapsed="false">
      <c r="A14" s="4" t="s">
        <v>13</v>
      </c>
      <c r="B14" s="5" t="n">
        <f aca="false">COUNTIF(Defect_Log!$G$4:$G$10,"Medium")</f>
        <v>5</v>
      </c>
    </row>
    <row r="15" customFormat="false" ht="15" hidden="false" customHeight="false" outlineLevel="0" collapsed="false">
      <c r="A15" s="4" t="s">
        <v>14</v>
      </c>
      <c r="B15" s="5" t="n">
        <f aca="false">COUNTIF(Defect_Log!$G$4:$G$10,"Low")</f>
        <v>2</v>
      </c>
    </row>
    <row r="17" customFormat="false" ht="15" hidden="false" customHeight="false" outlineLevel="0" collapsed="false">
      <c r="A17" s="7" t="s">
        <v>15</v>
      </c>
    </row>
    <row r="18" customFormat="false" ht="42" hidden="false" customHeight="true" outlineLevel="0" collapsed="false">
      <c r="A18" s="8" t="s">
        <v>16</v>
      </c>
      <c r="B18" s="8"/>
    </row>
    <row r="19" customFormat="false" ht="42" hidden="false" customHeight="true" outlineLevel="0" collapsed="false">
      <c r="A19" s="8" t="s">
        <v>17</v>
      </c>
      <c r="B19" s="8"/>
    </row>
    <row r="20" customFormat="false" ht="42" hidden="false" customHeight="true" outlineLevel="0" collapsed="false">
      <c r="A20" s="8" t="s">
        <v>18</v>
      </c>
      <c r="B20" s="8"/>
    </row>
    <row r="21" customFormat="false" ht="42" hidden="false" customHeight="true" outlineLevel="0" collapsed="false">
      <c r="A21" s="8" t="s">
        <v>19</v>
      </c>
      <c r="B21" s="8"/>
    </row>
    <row r="22" customFormat="false" ht="42" hidden="false" customHeight="true" outlineLevel="0" collapsed="false">
      <c r="A22" s="8" t="s">
        <v>20</v>
      </c>
      <c r="B22" s="8"/>
    </row>
  </sheetData>
  <mergeCells count="5"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42"/>
    <col collapsed="false" customWidth="true" hidden="false" outlineLevel="0" max="9" min="9" style="0" width="36"/>
    <col collapsed="false" customWidth="true" hidden="false" outlineLevel="0" max="10" min="10" style="0" width="4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44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15" hidden="false" customHeight="false" outlineLevel="0" collapsed="false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</row>
    <row r="4" customFormat="false" ht="15" hidden="false" customHeight="false" outlineLevel="0" collapsed="false">
      <c r="A4" s="9" t="s">
        <v>37</v>
      </c>
      <c r="B4" s="9" t="s">
        <v>38</v>
      </c>
      <c r="C4" s="9" t="s">
        <v>39</v>
      </c>
      <c r="D4" s="9" t="s">
        <v>40</v>
      </c>
      <c r="E4" s="9" t="s">
        <v>41</v>
      </c>
      <c r="F4" s="9" t="s">
        <v>42</v>
      </c>
      <c r="G4" s="9" t="s">
        <v>43</v>
      </c>
      <c r="H4" s="9" t="s">
        <v>44</v>
      </c>
      <c r="I4" s="9" t="s">
        <v>45</v>
      </c>
      <c r="J4" s="9" t="s">
        <v>46</v>
      </c>
      <c r="K4" s="9" t="n">
        <v>2</v>
      </c>
      <c r="L4" s="9" t="s">
        <v>47</v>
      </c>
      <c r="M4" s="9"/>
      <c r="N4" s="9" t="s">
        <v>48</v>
      </c>
    </row>
    <row r="5" customFormat="false" ht="23.85" hidden="false" customHeight="false" outlineLevel="0" collapsed="false">
      <c r="A5" s="9" t="s">
        <v>49</v>
      </c>
      <c r="B5" s="9" t="s">
        <v>50</v>
      </c>
      <c r="C5" s="9" t="s">
        <v>51</v>
      </c>
      <c r="D5" s="9" t="s">
        <v>52</v>
      </c>
      <c r="E5" s="9" t="s">
        <v>41</v>
      </c>
      <c r="F5" s="9" t="s">
        <v>53</v>
      </c>
      <c r="G5" s="9" t="s">
        <v>54</v>
      </c>
      <c r="H5" s="9" t="s">
        <v>55</v>
      </c>
      <c r="I5" s="9" t="s">
        <v>56</v>
      </c>
      <c r="J5" s="9" t="s">
        <v>57</v>
      </c>
      <c r="K5" s="9" t="n">
        <v>2</v>
      </c>
      <c r="L5" s="9" t="s">
        <v>47</v>
      </c>
      <c r="M5" s="9"/>
      <c r="N5" s="9" t="s">
        <v>48</v>
      </c>
    </row>
    <row r="6" customFormat="false" ht="23.85" hidden="false" customHeight="false" outlineLevel="0" collapsed="false">
      <c r="A6" s="9" t="s">
        <v>58</v>
      </c>
      <c r="B6" s="9" t="s">
        <v>59</v>
      </c>
      <c r="C6" s="9" t="s">
        <v>60</v>
      </c>
      <c r="D6" s="9" t="s">
        <v>61</v>
      </c>
      <c r="E6" s="9" t="s">
        <v>41</v>
      </c>
      <c r="F6" s="9" t="s">
        <v>42</v>
      </c>
      <c r="G6" s="9" t="s">
        <v>62</v>
      </c>
      <c r="H6" s="9" t="s">
        <v>63</v>
      </c>
      <c r="I6" s="9" t="s">
        <v>64</v>
      </c>
      <c r="J6" s="9" t="s">
        <v>65</v>
      </c>
      <c r="K6" s="9" t="n">
        <v>4</v>
      </c>
      <c r="L6" s="9" t="s">
        <v>47</v>
      </c>
      <c r="M6" s="9"/>
      <c r="N6" s="9" t="s">
        <v>48</v>
      </c>
    </row>
    <row r="7" customFormat="false" ht="23.85" hidden="false" customHeight="false" outlineLevel="0" collapsed="false">
      <c r="A7" s="9" t="s">
        <v>66</v>
      </c>
      <c r="B7" s="9" t="s">
        <v>67</v>
      </c>
      <c r="C7" s="9" t="s">
        <v>68</v>
      </c>
      <c r="D7" s="9" t="s">
        <v>69</v>
      </c>
      <c r="E7" s="9" t="s">
        <v>41</v>
      </c>
      <c r="F7" s="9" t="s">
        <v>53</v>
      </c>
      <c r="G7" s="9" t="s">
        <v>62</v>
      </c>
      <c r="H7" s="9" t="s">
        <v>70</v>
      </c>
      <c r="I7" s="9" t="s">
        <v>71</v>
      </c>
      <c r="J7" s="9" t="s">
        <v>72</v>
      </c>
      <c r="K7" s="9" t="n">
        <v>4</v>
      </c>
      <c r="L7" s="9" t="s">
        <v>47</v>
      </c>
      <c r="M7" s="9"/>
      <c r="N7" s="9" t="s">
        <v>48</v>
      </c>
    </row>
    <row r="8" customFormat="false" ht="23.85" hidden="false" customHeight="false" outlineLevel="0" collapsed="false">
      <c r="A8" s="9" t="s">
        <v>73</v>
      </c>
      <c r="B8" s="9" t="s">
        <v>59</v>
      </c>
      <c r="C8" s="9" t="s">
        <v>74</v>
      </c>
      <c r="D8" s="9" t="s">
        <v>75</v>
      </c>
      <c r="E8" s="9" t="s">
        <v>41</v>
      </c>
      <c r="F8" s="9" t="s">
        <v>42</v>
      </c>
      <c r="G8" s="9" t="s">
        <v>76</v>
      </c>
      <c r="H8" s="9" t="s">
        <v>77</v>
      </c>
      <c r="I8" s="9" t="s">
        <v>78</v>
      </c>
      <c r="J8" s="9" t="s">
        <v>79</v>
      </c>
      <c r="K8" s="9" t="n">
        <v>5</v>
      </c>
      <c r="L8" s="9" t="s">
        <v>47</v>
      </c>
      <c r="M8" s="9"/>
      <c r="N8" s="9" t="s">
        <v>48</v>
      </c>
    </row>
    <row r="9" customFormat="false" ht="23.85" hidden="false" customHeight="false" outlineLevel="0" collapsed="false">
      <c r="A9" s="9" t="s">
        <v>80</v>
      </c>
      <c r="B9" s="9" t="s">
        <v>81</v>
      </c>
      <c r="C9" s="9" t="s">
        <v>82</v>
      </c>
      <c r="D9" s="9" t="s">
        <v>83</v>
      </c>
      <c r="E9" s="9" t="s">
        <v>41</v>
      </c>
      <c r="F9" s="9" t="s">
        <v>84</v>
      </c>
      <c r="G9" s="9" t="s">
        <v>76</v>
      </c>
      <c r="H9" s="9" t="s">
        <v>85</v>
      </c>
      <c r="I9" s="9" t="s">
        <v>86</v>
      </c>
      <c r="J9" s="9" t="s">
        <v>87</v>
      </c>
      <c r="K9" s="9" t="n">
        <v>3</v>
      </c>
      <c r="L9" s="9" t="s">
        <v>47</v>
      </c>
      <c r="M9" s="9"/>
      <c r="N9" s="9" t="s">
        <v>48</v>
      </c>
    </row>
    <row r="10" customFormat="false" ht="23.85" hidden="false" customHeight="false" outlineLevel="0" collapsed="false">
      <c r="A10" s="9" t="s">
        <v>88</v>
      </c>
      <c r="B10" s="9" t="s">
        <v>81</v>
      </c>
      <c r="C10" s="9" t="s">
        <v>89</v>
      </c>
      <c r="D10" s="9" t="s">
        <v>90</v>
      </c>
      <c r="E10" s="9" t="s">
        <v>41</v>
      </c>
      <c r="F10" s="9" t="s">
        <v>91</v>
      </c>
      <c r="G10" s="9" t="s">
        <v>76</v>
      </c>
      <c r="H10" s="9" t="s">
        <v>92</v>
      </c>
      <c r="I10" s="9" t="s">
        <v>93</v>
      </c>
      <c r="J10" s="9" t="s">
        <v>94</v>
      </c>
      <c r="K10" s="9" t="n">
        <v>4</v>
      </c>
      <c r="L10" s="9" t="s">
        <v>47</v>
      </c>
      <c r="M10" s="9"/>
      <c r="N10" s="9" t="s">
        <v>48</v>
      </c>
    </row>
    <row r="11" customFormat="false" ht="23.85" hidden="false" customHeight="false" outlineLevel="0" collapsed="false">
      <c r="A11" s="9" t="s">
        <v>95</v>
      </c>
      <c r="B11" s="9" t="s">
        <v>96</v>
      </c>
      <c r="C11" s="9" t="s">
        <v>97</v>
      </c>
      <c r="D11" s="9" t="s">
        <v>98</v>
      </c>
      <c r="E11" s="9" t="s">
        <v>41</v>
      </c>
      <c r="F11" s="9" t="s">
        <v>99</v>
      </c>
      <c r="G11" s="9" t="s">
        <v>76</v>
      </c>
      <c r="H11" s="9" t="s">
        <v>100</v>
      </c>
      <c r="I11" s="9" t="s">
        <v>101</v>
      </c>
      <c r="J11" s="9" t="s">
        <v>102</v>
      </c>
      <c r="K11" s="9" t="n">
        <v>3</v>
      </c>
      <c r="L11" s="9" t="s">
        <v>47</v>
      </c>
      <c r="M11" s="9"/>
      <c r="N11" s="9" t="s">
        <v>48</v>
      </c>
    </row>
    <row r="12" customFormat="false" ht="23.85" hidden="false" customHeight="false" outlineLevel="0" collapsed="false">
      <c r="A12" s="9" t="s">
        <v>103</v>
      </c>
      <c r="B12" s="9" t="s">
        <v>50</v>
      </c>
      <c r="C12" s="9" t="s">
        <v>104</v>
      </c>
      <c r="D12" s="9" t="s">
        <v>105</v>
      </c>
      <c r="E12" s="9" t="s">
        <v>106</v>
      </c>
      <c r="F12" s="9" t="s">
        <v>53</v>
      </c>
      <c r="G12" s="9" t="s">
        <v>54</v>
      </c>
      <c r="H12" s="9" t="s">
        <v>107</v>
      </c>
      <c r="I12" s="9" t="s">
        <v>108</v>
      </c>
      <c r="J12" s="9" t="s">
        <v>109</v>
      </c>
      <c r="K12" s="9" t="n">
        <v>2</v>
      </c>
      <c r="L12" s="9" t="s">
        <v>110</v>
      </c>
      <c r="M12" s="9" t="s">
        <v>111</v>
      </c>
      <c r="N12" s="9" t="s">
        <v>112</v>
      </c>
    </row>
    <row r="13" customFormat="false" ht="15" hidden="false" customHeight="false" outlineLevel="0" collapsed="false">
      <c r="A13" s="9" t="s">
        <v>113</v>
      </c>
      <c r="B13" s="9" t="s">
        <v>81</v>
      </c>
      <c r="C13" s="9" t="s">
        <v>114</v>
      </c>
      <c r="D13" s="9" t="s">
        <v>115</v>
      </c>
      <c r="E13" s="9" t="s">
        <v>106</v>
      </c>
      <c r="F13" s="9" t="s">
        <v>84</v>
      </c>
      <c r="G13" s="9" t="s">
        <v>76</v>
      </c>
      <c r="H13" s="9" t="s">
        <v>116</v>
      </c>
      <c r="I13" s="9" t="s">
        <v>117</v>
      </c>
      <c r="J13" s="9" t="s">
        <v>118</v>
      </c>
      <c r="K13" s="9" t="n">
        <v>1</v>
      </c>
      <c r="L13" s="9" t="s">
        <v>47</v>
      </c>
      <c r="M13" s="9"/>
      <c r="N13" s="9" t="s">
        <v>119</v>
      </c>
    </row>
    <row r="14" customFormat="false" ht="23.85" hidden="false" customHeight="false" outlineLevel="0" collapsed="false">
      <c r="A14" s="9" t="s">
        <v>120</v>
      </c>
      <c r="B14" s="9" t="s">
        <v>96</v>
      </c>
      <c r="C14" s="9" t="s">
        <v>121</v>
      </c>
      <c r="D14" s="9" t="s">
        <v>122</v>
      </c>
      <c r="E14" s="9" t="s">
        <v>106</v>
      </c>
      <c r="F14" s="9" t="s">
        <v>99</v>
      </c>
      <c r="G14" s="9" t="s">
        <v>76</v>
      </c>
      <c r="H14" s="9" t="s">
        <v>123</v>
      </c>
      <c r="I14" s="9" t="s">
        <v>117</v>
      </c>
      <c r="J14" s="9" t="s">
        <v>118</v>
      </c>
      <c r="K14" s="9" t="n">
        <v>1</v>
      </c>
      <c r="L14" s="9" t="s">
        <v>47</v>
      </c>
      <c r="M14" s="9"/>
      <c r="N14" s="9" t="s">
        <v>124</v>
      </c>
    </row>
    <row r="15" customFormat="false" ht="23.85" hidden="false" customHeight="false" outlineLevel="0" collapsed="false">
      <c r="A15" s="9" t="s">
        <v>125</v>
      </c>
      <c r="B15" s="9" t="s">
        <v>67</v>
      </c>
      <c r="C15" s="9" t="s">
        <v>126</v>
      </c>
      <c r="D15" s="9" t="s">
        <v>127</v>
      </c>
      <c r="E15" s="9" t="s">
        <v>106</v>
      </c>
      <c r="F15" s="9" t="s">
        <v>53</v>
      </c>
      <c r="G15" s="9" t="s">
        <v>62</v>
      </c>
      <c r="H15" s="9" t="s">
        <v>128</v>
      </c>
      <c r="I15" s="9" t="s">
        <v>129</v>
      </c>
      <c r="J15" s="9" t="s">
        <v>130</v>
      </c>
      <c r="K15" s="9" t="n">
        <v>1</v>
      </c>
      <c r="L15" s="9" t="s">
        <v>110</v>
      </c>
      <c r="M15" s="9" t="s">
        <v>131</v>
      </c>
      <c r="N15" s="9" t="s">
        <v>132</v>
      </c>
    </row>
    <row r="16" customFormat="false" ht="23.85" hidden="false" customHeight="false" outlineLevel="0" collapsed="false">
      <c r="A16" s="9" t="s">
        <v>133</v>
      </c>
      <c r="B16" s="9" t="s">
        <v>67</v>
      </c>
      <c r="C16" s="9" t="s">
        <v>134</v>
      </c>
      <c r="D16" s="9" t="s">
        <v>135</v>
      </c>
      <c r="E16" s="9" t="s">
        <v>106</v>
      </c>
      <c r="F16" s="9" t="s">
        <v>53</v>
      </c>
      <c r="G16" s="9" t="s">
        <v>62</v>
      </c>
      <c r="H16" s="9" t="s">
        <v>136</v>
      </c>
      <c r="I16" s="9" t="s">
        <v>129</v>
      </c>
      <c r="J16" s="9" t="s">
        <v>137</v>
      </c>
      <c r="K16" s="9" t="n">
        <v>1</v>
      </c>
      <c r="L16" s="9" t="s">
        <v>110</v>
      </c>
      <c r="M16" s="9" t="s">
        <v>138</v>
      </c>
      <c r="N16" s="9" t="s">
        <v>139</v>
      </c>
    </row>
    <row r="17" customFormat="false" ht="23.85" hidden="false" customHeight="false" outlineLevel="0" collapsed="false">
      <c r="A17" s="9" t="s">
        <v>140</v>
      </c>
      <c r="B17" s="9" t="s">
        <v>81</v>
      </c>
      <c r="C17" s="9" t="s">
        <v>141</v>
      </c>
      <c r="D17" s="9" t="s">
        <v>142</v>
      </c>
      <c r="E17" s="9" t="s">
        <v>106</v>
      </c>
      <c r="F17" s="9" t="s">
        <v>84</v>
      </c>
      <c r="G17" s="9" t="s">
        <v>143</v>
      </c>
      <c r="H17" s="9" t="s">
        <v>144</v>
      </c>
      <c r="I17" s="9" t="s">
        <v>145</v>
      </c>
      <c r="J17" s="9" t="s">
        <v>146</v>
      </c>
      <c r="K17" s="9" t="n">
        <v>1</v>
      </c>
      <c r="L17" s="9" t="s">
        <v>110</v>
      </c>
      <c r="M17" s="9" t="s">
        <v>147</v>
      </c>
      <c r="N17" s="9" t="s">
        <v>148</v>
      </c>
    </row>
    <row r="18" customFormat="false" ht="15" hidden="false" customHeight="false" outlineLevel="0" collapsed="false">
      <c r="A18" s="9" t="s">
        <v>149</v>
      </c>
      <c r="B18" s="9" t="s">
        <v>59</v>
      </c>
      <c r="C18" s="9" t="s">
        <v>150</v>
      </c>
      <c r="D18" s="9" t="s">
        <v>151</v>
      </c>
      <c r="E18" s="9" t="s">
        <v>106</v>
      </c>
      <c r="F18" s="9" t="s">
        <v>42</v>
      </c>
      <c r="G18" s="9" t="s">
        <v>143</v>
      </c>
      <c r="H18" s="9" t="s">
        <v>152</v>
      </c>
      <c r="I18" s="9" t="s">
        <v>145</v>
      </c>
      <c r="J18" s="9" t="s">
        <v>145</v>
      </c>
      <c r="K18" s="9" t="n">
        <v>1</v>
      </c>
      <c r="L18" s="9" t="s">
        <v>47</v>
      </c>
      <c r="M18" s="9"/>
      <c r="N18" s="9" t="s">
        <v>153</v>
      </c>
    </row>
    <row r="19" customFormat="false" ht="23.85" hidden="false" customHeight="false" outlineLevel="0" collapsed="false">
      <c r="A19" s="9" t="s">
        <v>154</v>
      </c>
      <c r="B19" s="9" t="s">
        <v>96</v>
      </c>
      <c r="C19" s="9" t="s">
        <v>155</v>
      </c>
      <c r="D19" s="9" t="s">
        <v>156</v>
      </c>
      <c r="E19" s="9" t="s">
        <v>106</v>
      </c>
      <c r="F19" s="9" t="s">
        <v>99</v>
      </c>
      <c r="G19" s="9" t="s">
        <v>143</v>
      </c>
      <c r="H19" s="9" t="s">
        <v>157</v>
      </c>
      <c r="I19" s="9" t="s">
        <v>145</v>
      </c>
      <c r="J19" s="9" t="s">
        <v>146</v>
      </c>
      <c r="K19" s="9" t="n">
        <v>1</v>
      </c>
      <c r="L19" s="9" t="s">
        <v>110</v>
      </c>
      <c r="M19" s="9" t="s">
        <v>147</v>
      </c>
      <c r="N19" s="9" t="s">
        <v>158</v>
      </c>
    </row>
    <row r="20" customFormat="false" ht="23.85" hidden="false" customHeight="false" outlineLevel="0" collapsed="false">
      <c r="A20" s="9" t="s">
        <v>159</v>
      </c>
      <c r="B20" s="9" t="s">
        <v>67</v>
      </c>
      <c r="C20" s="9" t="s">
        <v>160</v>
      </c>
      <c r="D20" s="9" t="s">
        <v>161</v>
      </c>
      <c r="E20" s="9" t="s">
        <v>106</v>
      </c>
      <c r="F20" s="9" t="s">
        <v>53</v>
      </c>
      <c r="G20" s="9" t="s">
        <v>62</v>
      </c>
      <c r="H20" s="9" t="s">
        <v>162</v>
      </c>
      <c r="I20" s="9" t="s">
        <v>129</v>
      </c>
      <c r="J20" s="9" t="s">
        <v>163</v>
      </c>
      <c r="K20" s="9" t="n">
        <v>1</v>
      </c>
      <c r="L20" s="9" t="s">
        <v>110</v>
      </c>
      <c r="M20" s="9" t="s">
        <v>164</v>
      </c>
      <c r="N20" s="9" t="s">
        <v>165</v>
      </c>
    </row>
    <row r="21" customFormat="false" ht="23.85" hidden="false" customHeight="false" outlineLevel="0" collapsed="false">
      <c r="A21" s="9" t="s">
        <v>166</v>
      </c>
      <c r="B21" s="9" t="s">
        <v>67</v>
      </c>
      <c r="C21" s="9" t="s">
        <v>167</v>
      </c>
      <c r="D21" s="9" t="s">
        <v>168</v>
      </c>
      <c r="E21" s="9" t="s">
        <v>106</v>
      </c>
      <c r="F21" s="9" t="s">
        <v>53</v>
      </c>
      <c r="G21" s="9" t="s">
        <v>62</v>
      </c>
      <c r="H21" s="9" t="s">
        <v>169</v>
      </c>
      <c r="I21" s="9" t="s">
        <v>129</v>
      </c>
      <c r="J21" s="9" t="s">
        <v>170</v>
      </c>
      <c r="K21" s="9" t="n">
        <v>1</v>
      </c>
      <c r="L21" s="9" t="s">
        <v>110</v>
      </c>
      <c r="M21" s="9" t="s">
        <v>171</v>
      </c>
      <c r="N21" s="9" t="s">
        <v>172</v>
      </c>
    </row>
    <row r="22" customFormat="false" ht="15" hidden="false" customHeight="false" outlineLevel="0" collapsed="false">
      <c r="A22" s="9" t="s">
        <v>173</v>
      </c>
      <c r="B22" s="9" t="s">
        <v>67</v>
      </c>
      <c r="C22" s="9" t="s">
        <v>174</v>
      </c>
      <c r="D22" s="9" t="s">
        <v>175</v>
      </c>
      <c r="E22" s="9" t="s">
        <v>106</v>
      </c>
      <c r="F22" s="9" t="s">
        <v>53</v>
      </c>
      <c r="G22" s="9" t="s">
        <v>62</v>
      </c>
      <c r="H22" s="9" t="s">
        <v>176</v>
      </c>
      <c r="I22" s="9" t="s">
        <v>129</v>
      </c>
      <c r="J22" s="9" t="s">
        <v>130</v>
      </c>
      <c r="K22" s="9" t="n">
        <v>1</v>
      </c>
      <c r="L22" s="9" t="s">
        <v>110</v>
      </c>
      <c r="M22" s="9" t="s">
        <v>131</v>
      </c>
      <c r="N22" s="9" t="s">
        <v>177</v>
      </c>
    </row>
    <row r="23" customFormat="false" ht="23.85" hidden="false" customHeight="false" outlineLevel="0" collapsed="false">
      <c r="A23" s="9" t="s">
        <v>178</v>
      </c>
      <c r="B23" s="9" t="s">
        <v>67</v>
      </c>
      <c r="C23" s="9" t="s">
        <v>179</v>
      </c>
      <c r="D23" s="9" t="s">
        <v>180</v>
      </c>
      <c r="E23" s="9" t="s">
        <v>106</v>
      </c>
      <c r="F23" s="9" t="s">
        <v>53</v>
      </c>
      <c r="G23" s="9" t="s">
        <v>62</v>
      </c>
      <c r="H23" s="9" t="s">
        <v>181</v>
      </c>
      <c r="I23" s="9" t="s">
        <v>182</v>
      </c>
      <c r="J23" s="9" t="s">
        <v>183</v>
      </c>
      <c r="K23" s="9" t="n">
        <v>1</v>
      </c>
      <c r="L23" s="9" t="s">
        <v>110</v>
      </c>
      <c r="M23" s="9" t="s">
        <v>184</v>
      </c>
      <c r="N23" s="9" t="s">
        <v>185</v>
      </c>
    </row>
  </sheetData>
  <autoFilter ref="A3:N23"/>
  <conditionalFormatting sqref="L4:L23">
    <cfRule type="cellIs" priority="2" operator="equal" aboveAverage="0" equalAverage="0" bottom="0" percent="0" rank="0" text="" dxfId="7">
      <formula>"Pass"</formula>
    </cfRule>
    <cfRule type="cellIs" priority="3" operator="equal" aboveAverage="0" equalAverage="0" bottom="0" percent="0" rank="0" text="" dxfId="8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42"/>
    <col collapsed="false" customWidth="true" hidden="false" outlineLevel="0" max="10" min="10" style="0" width="20"/>
    <col collapsed="false" customWidth="true" hidden="false" outlineLevel="0" max="11" min="11" style="0" width="9"/>
    <col collapsed="false" customWidth="true" hidden="false" outlineLevel="0" max="12" min="12" style="0" width="44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2" t="s">
        <v>187</v>
      </c>
    </row>
    <row r="3" customFormat="false" ht="15" hidden="false" customHeight="false" outlineLevel="0" collapsed="false">
      <c r="A3" s="3" t="s">
        <v>35</v>
      </c>
      <c r="B3" s="3" t="s">
        <v>188</v>
      </c>
      <c r="C3" s="3" t="s">
        <v>29</v>
      </c>
      <c r="D3" s="3" t="s">
        <v>189</v>
      </c>
      <c r="E3" s="3" t="s">
        <v>31</v>
      </c>
      <c r="F3" s="3" t="s">
        <v>32</v>
      </c>
      <c r="G3" s="3" t="s">
        <v>190</v>
      </c>
      <c r="H3" s="3" t="s">
        <v>191</v>
      </c>
      <c r="I3" s="3" t="s">
        <v>192</v>
      </c>
      <c r="J3" s="3" t="s">
        <v>193</v>
      </c>
      <c r="K3" s="3" t="s">
        <v>34</v>
      </c>
      <c r="L3" s="3" t="s">
        <v>36</v>
      </c>
    </row>
    <row r="4" customFormat="false" ht="23.85" hidden="false" customHeight="false" outlineLevel="0" collapsed="false">
      <c r="A4" s="9" t="s">
        <v>111</v>
      </c>
      <c r="B4" s="9" t="s">
        <v>194</v>
      </c>
      <c r="C4" s="9" t="s">
        <v>195</v>
      </c>
      <c r="D4" s="9" t="s">
        <v>196</v>
      </c>
      <c r="E4" s="9" t="s">
        <v>197</v>
      </c>
      <c r="F4" s="9" t="s">
        <v>109</v>
      </c>
      <c r="G4" s="9" t="s">
        <v>198</v>
      </c>
      <c r="H4" s="9" t="s">
        <v>199</v>
      </c>
      <c r="I4" s="9" t="s">
        <v>200</v>
      </c>
      <c r="J4" s="9" t="s">
        <v>201</v>
      </c>
      <c r="K4" s="9" t="s">
        <v>202</v>
      </c>
      <c r="L4" s="9" t="s">
        <v>112</v>
      </c>
    </row>
    <row r="5" customFormat="false" ht="35.05" hidden="false" customHeight="false" outlineLevel="0" collapsed="false">
      <c r="A5" s="9" t="s">
        <v>131</v>
      </c>
      <c r="B5" s="9" t="s">
        <v>203</v>
      </c>
      <c r="C5" s="9" t="s">
        <v>204</v>
      </c>
      <c r="D5" s="9" t="s">
        <v>205</v>
      </c>
      <c r="E5" s="9" t="s">
        <v>206</v>
      </c>
      <c r="F5" s="9" t="s">
        <v>207</v>
      </c>
      <c r="G5" s="9" t="s">
        <v>198</v>
      </c>
      <c r="H5" s="9" t="s">
        <v>199</v>
      </c>
      <c r="I5" s="9" t="s">
        <v>208</v>
      </c>
      <c r="J5" s="9" t="s">
        <v>209</v>
      </c>
      <c r="K5" s="9" t="s">
        <v>202</v>
      </c>
      <c r="L5" s="9" t="s">
        <v>210</v>
      </c>
    </row>
    <row r="6" customFormat="false" ht="23.85" hidden="false" customHeight="false" outlineLevel="0" collapsed="false">
      <c r="A6" s="9" t="s">
        <v>138</v>
      </c>
      <c r="B6" s="9" t="s">
        <v>211</v>
      </c>
      <c r="C6" s="9" t="s">
        <v>204</v>
      </c>
      <c r="D6" s="9" t="s">
        <v>212</v>
      </c>
      <c r="E6" s="9" t="s">
        <v>213</v>
      </c>
      <c r="F6" s="9" t="s">
        <v>214</v>
      </c>
      <c r="G6" s="9" t="s">
        <v>198</v>
      </c>
      <c r="H6" s="9" t="s">
        <v>199</v>
      </c>
      <c r="I6" s="9" t="s">
        <v>215</v>
      </c>
      <c r="J6" s="9" t="s">
        <v>216</v>
      </c>
      <c r="K6" s="9" t="s">
        <v>202</v>
      </c>
      <c r="L6" s="9" t="s">
        <v>139</v>
      </c>
    </row>
    <row r="7" customFormat="false" ht="35.05" hidden="false" customHeight="false" outlineLevel="0" collapsed="false">
      <c r="A7" s="9" t="s">
        <v>147</v>
      </c>
      <c r="B7" s="9" t="s">
        <v>217</v>
      </c>
      <c r="C7" s="9" t="s">
        <v>218</v>
      </c>
      <c r="D7" s="9" t="s">
        <v>219</v>
      </c>
      <c r="E7" s="9" t="s">
        <v>220</v>
      </c>
      <c r="F7" s="9" t="s">
        <v>221</v>
      </c>
      <c r="G7" s="9" t="s">
        <v>222</v>
      </c>
      <c r="H7" s="9" t="s">
        <v>223</v>
      </c>
      <c r="I7" s="9" t="s">
        <v>224</v>
      </c>
      <c r="J7" s="9" t="s">
        <v>225</v>
      </c>
      <c r="K7" s="9" t="s">
        <v>202</v>
      </c>
      <c r="L7" s="9" t="s">
        <v>226</v>
      </c>
    </row>
    <row r="8" customFormat="false" ht="23.85" hidden="false" customHeight="false" outlineLevel="0" collapsed="false">
      <c r="A8" s="9" t="s">
        <v>164</v>
      </c>
      <c r="B8" s="9" t="s">
        <v>227</v>
      </c>
      <c r="C8" s="9" t="s">
        <v>204</v>
      </c>
      <c r="D8" s="9" t="s">
        <v>162</v>
      </c>
      <c r="E8" s="9" t="s">
        <v>213</v>
      </c>
      <c r="F8" s="9" t="s">
        <v>228</v>
      </c>
      <c r="G8" s="9" t="s">
        <v>198</v>
      </c>
      <c r="H8" s="9" t="s">
        <v>199</v>
      </c>
      <c r="I8" s="9" t="s">
        <v>229</v>
      </c>
      <c r="J8" s="9" t="s">
        <v>230</v>
      </c>
      <c r="K8" s="9" t="s">
        <v>202</v>
      </c>
      <c r="L8" s="9" t="s">
        <v>165</v>
      </c>
    </row>
    <row r="9" customFormat="false" ht="23.85" hidden="false" customHeight="false" outlineLevel="0" collapsed="false">
      <c r="A9" s="9" t="s">
        <v>171</v>
      </c>
      <c r="B9" s="9" t="s">
        <v>231</v>
      </c>
      <c r="C9" s="9" t="s">
        <v>204</v>
      </c>
      <c r="D9" s="9" t="s">
        <v>232</v>
      </c>
      <c r="E9" s="9" t="s">
        <v>213</v>
      </c>
      <c r="F9" s="9" t="s">
        <v>233</v>
      </c>
      <c r="G9" s="9" t="s">
        <v>198</v>
      </c>
      <c r="H9" s="9" t="s">
        <v>199</v>
      </c>
      <c r="I9" s="9" t="s">
        <v>234</v>
      </c>
      <c r="J9" s="9" t="s">
        <v>235</v>
      </c>
      <c r="K9" s="9" t="s">
        <v>202</v>
      </c>
      <c r="L9" s="9" t="s">
        <v>172</v>
      </c>
    </row>
    <row r="10" customFormat="false" ht="23.85" hidden="false" customHeight="false" outlineLevel="0" collapsed="false">
      <c r="A10" s="9" t="s">
        <v>184</v>
      </c>
      <c r="B10" s="9" t="s">
        <v>236</v>
      </c>
      <c r="C10" s="9" t="s">
        <v>204</v>
      </c>
      <c r="D10" s="9" t="s">
        <v>237</v>
      </c>
      <c r="E10" s="9" t="s">
        <v>238</v>
      </c>
      <c r="F10" s="9" t="s">
        <v>239</v>
      </c>
      <c r="G10" s="9" t="s">
        <v>222</v>
      </c>
      <c r="H10" s="9" t="s">
        <v>223</v>
      </c>
      <c r="I10" s="9" t="s">
        <v>240</v>
      </c>
      <c r="J10" s="9" t="s">
        <v>241</v>
      </c>
      <c r="K10" s="9" t="s">
        <v>202</v>
      </c>
      <c r="L10" s="9" t="s">
        <v>185</v>
      </c>
    </row>
  </sheetData>
  <autoFilter ref="A3:L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242</v>
      </c>
    </row>
    <row r="2" customFormat="false" ht="15" hidden="false" customHeight="false" outlineLevel="0" collapsed="false">
      <c r="A2" s="2" t="s">
        <v>243</v>
      </c>
    </row>
    <row r="3" customFormat="false" ht="15" hidden="false" customHeight="false" outlineLevel="0" collapsed="false">
      <c r="A3" s="3" t="s">
        <v>24</v>
      </c>
      <c r="B3" s="3" t="s">
        <v>244</v>
      </c>
      <c r="C3" s="3" t="s">
        <v>245</v>
      </c>
      <c r="D3" s="3" t="s">
        <v>246</v>
      </c>
      <c r="E3" s="3" t="s">
        <v>247</v>
      </c>
      <c r="F3" s="3" t="s">
        <v>248</v>
      </c>
    </row>
    <row r="4" customFormat="false" ht="15" hidden="false" customHeight="false" outlineLevel="0" collapsed="false">
      <c r="A4" s="9" t="s">
        <v>38</v>
      </c>
      <c r="B4" s="9" t="s">
        <v>249</v>
      </c>
      <c r="C4" s="9" t="s">
        <v>37</v>
      </c>
      <c r="D4" s="9" t="n">
        <f aca="false">COUNTIF(Test_Cases!$B$4:$B$23,A4)</f>
        <v>1</v>
      </c>
      <c r="E4" s="9" t="n">
        <f aca="false">COUNTIFS(Test_Cases!$B$4:$B$23,A4,Test_Cases!$L$4:$L$23,"Fail")</f>
        <v>0</v>
      </c>
      <c r="F4" s="9" t="s">
        <v>250</v>
      </c>
    </row>
    <row r="5" customFormat="false" ht="15" hidden="false" customHeight="false" outlineLevel="0" collapsed="false">
      <c r="A5" s="9" t="s">
        <v>50</v>
      </c>
      <c r="B5" s="9" t="s">
        <v>251</v>
      </c>
      <c r="C5" s="9" t="s">
        <v>252</v>
      </c>
      <c r="D5" s="9" t="n">
        <f aca="false">COUNTIF(Test_Cases!$B$4:$B$23,A5)</f>
        <v>2</v>
      </c>
      <c r="E5" s="9" t="n">
        <f aca="false">COUNTIFS(Test_Cases!$B$4:$B$23,A5,Test_Cases!$L$4:$L$23,"Fail")</f>
        <v>1</v>
      </c>
      <c r="F5" s="9" t="s">
        <v>111</v>
      </c>
    </row>
    <row r="6" customFormat="false" ht="23.85" hidden="false" customHeight="false" outlineLevel="0" collapsed="false">
      <c r="A6" s="9" t="s">
        <v>67</v>
      </c>
      <c r="B6" s="9" t="s">
        <v>253</v>
      </c>
      <c r="C6" s="9" t="s">
        <v>254</v>
      </c>
      <c r="D6" s="9" t="n">
        <f aca="false">COUNTIF(Test_Cases!$B$4:$B$23,A6)</f>
        <v>7</v>
      </c>
      <c r="E6" s="9" t="n">
        <f aca="false">COUNTIFS(Test_Cases!$B$4:$B$23,A6,Test_Cases!$L$4:$L$23,"Fail")</f>
        <v>6</v>
      </c>
      <c r="F6" s="9" t="s">
        <v>255</v>
      </c>
    </row>
    <row r="7" customFormat="false" ht="15" hidden="false" customHeight="false" outlineLevel="0" collapsed="false">
      <c r="A7" s="9" t="s">
        <v>59</v>
      </c>
      <c r="B7" s="9" t="s">
        <v>256</v>
      </c>
      <c r="C7" s="9" t="s">
        <v>257</v>
      </c>
      <c r="D7" s="9" t="n">
        <f aca="false">COUNTIF(Test_Cases!$B$4:$B$23,A7)</f>
        <v>3</v>
      </c>
      <c r="E7" s="9" t="n">
        <f aca="false">COUNTIFS(Test_Cases!$B$4:$B$23,A7,Test_Cases!$L$4:$L$23,"Fail")</f>
        <v>0</v>
      </c>
      <c r="F7" s="9" t="s">
        <v>250</v>
      </c>
    </row>
    <row r="8" customFormat="false" ht="23.85" hidden="false" customHeight="false" outlineLevel="0" collapsed="false">
      <c r="A8" s="9" t="s">
        <v>81</v>
      </c>
      <c r="B8" s="9" t="s">
        <v>258</v>
      </c>
      <c r="C8" s="9" t="s">
        <v>259</v>
      </c>
      <c r="D8" s="9" t="n">
        <f aca="false">COUNTIF(Test_Cases!$B$4:$B$23,A8)</f>
        <v>4</v>
      </c>
      <c r="E8" s="9" t="n">
        <f aca="false">COUNTIFS(Test_Cases!$B$4:$B$23,A8,Test_Cases!$L$4:$L$23,"Fail")</f>
        <v>1</v>
      </c>
      <c r="F8" s="9" t="s">
        <v>147</v>
      </c>
    </row>
    <row r="9" customFormat="false" ht="15" hidden="false" customHeight="false" outlineLevel="0" collapsed="false">
      <c r="A9" s="9" t="s">
        <v>96</v>
      </c>
      <c r="B9" s="9" t="s">
        <v>260</v>
      </c>
      <c r="C9" s="9" t="s">
        <v>261</v>
      </c>
      <c r="D9" s="9" t="n">
        <f aca="false">COUNTIF(Test_Cases!$B$4:$B$23,A9)</f>
        <v>3</v>
      </c>
      <c r="E9" s="9" t="n">
        <f aca="false">COUNTIFS(Test_Cases!$B$4:$B$23,A9,Test_Cases!$L$4:$L$23,"Fail")</f>
        <v>1</v>
      </c>
      <c r="F9" s="9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2026-10-04T05:56:42Z</dcterms:created>
  <dc:creator>openpyxl</dc:creator>
  <dc:description/>
  <dc:language>en-US</dc:language>
  <cp:lastModifiedBy/>
  <dcterms:modified xsi:type="dcterms:W3CDTF">2026-10-04T05:56:42Z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